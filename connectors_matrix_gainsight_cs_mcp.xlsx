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insight CS MCP" sheetId="1" state="visible" r:id="rId3"/>
    <sheet name="Legend &amp; sources" sheetId="2" state="visible" r:id="rId4"/>
    <sheet name="Summary" sheetId="3" state="visible" r:id="rId5"/>
  </sheets>
  <definedNames>
    <definedName function="false" hidden="true" localSheetId="0" name="_xlnm._FilterDatabase" vbProcedure="false">'Gainsight CS MCP'!$A$1:$H$26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<sst xmlns="http://schemas.openxmlformats.org/spreadsheetml/2006/main" count="254" uniqueCount="129">
  <si>
    <t xml:space="preserve">connector</t>
  </si>
  <si>
    <t xml:space="preserve">action</t>
  </si>
  <si>
    <t xml:space="preserve">type</t>
  </si>
  <si>
    <t xml:space="preserve">description</t>
  </si>
  <si>
    <t xml:space="preserve">AI team recomends</t>
  </si>
  <si>
    <t xml:space="preserve">Status - Approved by InfoSec</t>
  </si>
  <si>
    <t xml:space="preserve">Comments</t>
  </si>
  <si>
    <t xml:space="preserve">platform</t>
  </si>
  <si>
    <t xml:space="preserve">Gainsight CS MCP</t>
  </si>
  <si>
    <t xml:space="preserve">Setup: OAuth app with PKCE in Gainsight CS</t>
  </si>
  <si>
    <t xml:space="preserve">Setup / Auth</t>
  </si>
  <si>
    <t xml:space="preserve">Administration &gt; User Management &gt; Authentication &gt; OAuth Applications: create or edit an app, turn on Enable PKCE, add callback URLs, save. Client ID and Client Secret are generated on save.</t>
  </si>
  <si>
    <t xml:space="preserve">Yes - phase 1 (read-only)</t>
  </si>
  <si>
    <t xml:space="preserve">Pending InfoSec review</t>
  </si>
  <si>
    <t xml:space="preserve">Gainsight admin task. All three LLM integrations require user-level OAuth 2.1 with PKCE. Optional: Enforce Allowed IP Ranges to restrict API access.</t>
  </si>
  <si>
    <t xml:space="preserve">Gainsight CS (admin)</t>
  </si>
  <si>
    <t xml:space="preserve">Setup: MCP tool on a Copilot Studio agent</t>
  </si>
  <si>
    <t xml:space="preserve">Copilot Studio &gt; select agent &gt; Tools &gt; + Add a tool &gt; MCP. Server URL https://&lt;tenant&gt;.gainsightcloud.com/v1/ds-mcp/mcp, Authentication OAuth 2.0, Type Manual, plus Client ID, Client Secret, Authorization URL /v1/authorize, Token URL /v1/users/oauth/access/token, Refresh URL (same as token), Scopes. Copilot then generates a Redirect URL to paste back into the Gainsight OAuth app.</t>
  </si>
  <si>
    <t xml:space="preserve">Requires an existing Copilot agent and permission to create or edit agents in Copilot Studio. Two-admin task: Gainsight admin plus AI-platform admin.</t>
  </si>
  <si>
    <t xml:space="preserve">M365 Copilot Studio</t>
  </si>
  <si>
    <t xml:space="preserve">Setup: custom connector in Claude</t>
  </si>
  <si>
    <t xml:space="preserve">Customize &gt; Connectors &gt; Add custom connector. Server URL https://&lt;tenant&gt;.gainsightcloud.com/v1/ds-mcp/mcp, then Advanced settings for OAuth Client ID and Secret. Users then connect individually from Settings &gt; Connectors.</t>
  </si>
  <si>
    <t xml:space="preserve">Both Claude callback URLs must be added to the same Gainsight OAuth app: https://claude.ai/api/mcp/auth_callback and https://claude.com/api/mcp/auth_callback.</t>
  </si>
  <si>
    <t xml:space="preserve">Claude</t>
  </si>
  <si>
    <t xml:space="preserve">Data retrieval -&gt; Detailed Account Summary</t>
  </si>
  <si>
    <t xml:space="preserve">Read</t>
  </si>
  <si>
    <t xml:space="preserve">Consolidated summary of an account.</t>
  </si>
  <si>
    <t xml:space="preserve">Core use case for CSM pre-meeting prep.</t>
  </si>
  <si>
    <t xml:space="preserve">M365 Copilot Studio (also Claude, ChatGPT)</t>
  </si>
  <si>
    <t xml:space="preserve">Data retrieval -&gt; Query Company and Relationship</t>
  </si>
  <si>
    <t xml:space="preserve">Query Company and Relationship records.</t>
  </si>
  <si>
    <t xml:space="preserve">Company-level data; no personal data.</t>
  </si>
  <si>
    <t xml:space="preserve">Data retrieval -&gt; Fetch CTAs for a company</t>
  </si>
  <si>
    <t xml:space="preserve">Retrieve Calls to Action associated with a company.</t>
  </si>
  <si>
    <t xml:space="preserve">Read of the CS team's own workload records.</t>
  </si>
  <si>
    <t xml:space="preserve">Data retrieval -&gt; Read Tasks in CTA</t>
  </si>
  <si>
    <t xml:space="preserve">Retrieve tasks inside a CTA.</t>
  </si>
  <si>
    <t xml:space="preserve">May name individual owners - internal staff, not customers.</t>
  </si>
  <si>
    <t xml:space="preserve">Data retrieval -&gt; Fetch Success Plans</t>
  </si>
  <si>
    <t xml:space="preserve">Retrieve Success Plans.</t>
  </si>
  <si>
    <t xml:space="preserve">Contains customer commitments; confirm none is contractually confidential.</t>
  </si>
  <si>
    <t xml:space="preserve">Data retrieval -&gt; Read Timeline activities</t>
  </si>
  <si>
    <t xml:space="preserve">Retrieve Timeline activity records.</t>
  </si>
  <si>
    <t xml:space="preserve">Timeline notes are free text and can contain anything a CSM typed, including sensitive customer remarks. Flag this one in review.</t>
  </si>
  <si>
    <t xml:space="preserve">Data retrieval -&gt; Scorecards (read only)</t>
  </si>
  <si>
    <t xml:space="preserve">Read scorecard measures and health scores.</t>
  </si>
  <si>
    <t xml:space="preserve">Read-only by design; writing to scorecards is not supported.</t>
  </si>
  <si>
    <t xml:space="preserve">Data retrieval -&gt; Cross-account analysis</t>
  </si>
  <si>
    <t xml:space="preserve">Analyse patterns across multiple accounts.</t>
  </si>
  <si>
    <t xml:space="preserve">Broad-scope reads; useful for RevOps, wider exposure than single-account queries.</t>
  </si>
  <si>
    <t xml:space="preserve">Data retrieval -&gt; Reports (those users can see in the UI)</t>
  </si>
  <si>
    <t xml:space="preserve">Query reports the user already has access to in the Gainsight UI.</t>
  </si>
  <si>
    <t xml:space="preserve">Scoped to what the user can already see, which is a useful control to name in review.</t>
  </si>
  <si>
    <t xml:space="preserve">Data retrieval -&gt; Query Portfolio Data (GS Home filters)</t>
  </si>
  <si>
    <t xml:space="preserve">Query portfolio data using Gainsight Home filters.</t>
  </si>
  <si>
    <t xml:space="preserve">Portfolio-level read.</t>
  </si>
  <si>
    <t xml:space="preserve">Data retrieval -&gt; End User Contact Search</t>
  </si>
  <si>
    <t xml:space="preserve">Search end-user contact records.</t>
  </si>
  <si>
    <t xml:space="preserve">Yes - phase 2 (write, with owner sign-off)</t>
  </si>
  <si>
    <t xml:space="preserve">Customer personal data. The only retrieval capability that needs a privacy sign-off before enabling.</t>
  </si>
  <si>
    <t xml:space="preserve">Write action -&gt; Create CTAs</t>
  </si>
  <si>
    <t xml:space="preserve">Write</t>
  </si>
  <si>
    <t xml:space="preserve">Create new Calls to Action from a natural-language prompt.</t>
  </si>
  <si>
    <t xml:space="preserve">Writes land directly in the live CS system with no draft state. Needs the CS operations owner's sign-off and a named pilot group.</t>
  </si>
  <si>
    <t xml:space="preserve">Write action -&gt; Update CTAs</t>
  </si>
  <si>
    <t xml:space="preserve">Update existing CTAs.</t>
  </si>
  <si>
    <t xml:space="preserve">Write action -&gt; Create Tasks in CTAs</t>
  </si>
  <si>
    <t xml:space="preserve">Create tasks inside an existing CTA.</t>
  </si>
  <si>
    <t xml:space="preserve">Write action -&gt; Create Success Plans</t>
  </si>
  <si>
    <t xml:space="preserve">Create new Success Plans.</t>
  </si>
  <si>
    <t xml:space="preserve">Write action -&gt; Update Success Plans</t>
  </si>
  <si>
    <t xml:space="preserve">Update existing Success Plans.</t>
  </si>
  <si>
    <t xml:space="preserve">Write action -&gt; Create Timeline Activities</t>
  </si>
  <si>
    <t xml:space="preserve">Log new Timeline activities. Supported at Company, Success Plan, CTA and Relationship level - not at Scorecard level.</t>
  </si>
  <si>
    <t xml:space="preserve">Write action -&gt; Update Timeline Activities</t>
  </si>
  <si>
    <t xml:space="preserve">Update existing Timeline activities. Same levels as create.</t>
  </si>
  <si>
    <t xml:space="preserve">Not supported -&gt; Delete records</t>
  </si>
  <si>
    <t xml:space="preserve">Not supported</t>
  </si>
  <si>
    <t xml:space="preserve">Deleting records through MCP.</t>
  </si>
  <si>
    <t xml:space="preserve">N/A - not supported by vendor</t>
  </si>
  <si>
    <t xml:space="preserve">Vendor states this is not supported in the current release. Listed so the review sees the boundary explicitly.</t>
  </si>
  <si>
    <t xml:space="preserve">Not supported -&gt; Update company fields</t>
  </si>
  <si>
    <t xml:space="preserve">Editing company field values through MCP.</t>
  </si>
  <si>
    <t xml:space="preserve">Not supported -&gt; Admin-level configuration</t>
  </si>
  <si>
    <t xml:space="preserve">Changing Gainsight administrative configuration through MCP.</t>
  </si>
  <si>
    <t xml:space="preserve">Not supported -&gt; Scorecards (write)</t>
  </si>
  <si>
    <t xml:space="preserve">Writing or updating scorecard values through MCP.</t>
  </si>
  <si>
    <t xml:space="preserve">Gainsight CS MCP - connectors matrix</t>
  </si>
  <si>
    <t xml:space="preserve">Source</t>
  </si>
  <si>
    <t xml:space="preserve">https://support.gainsight.com/gainsight_nxt/AI_Assistants/MCP_Integration/Admin_Guide/Set_Up_Gainsight_CS_MCP_Server_Integration (updated 5 June 2026)</t>
  </si>
  <si>
    <t xml:space="preserve">FAQ</t>
  </si>
  <si>
    <t xml:space="preserve">https://support.gainsight.com/gainsight_nxt/AI_Assistants/MCP_Integration/FAQ/Gainsight_CS_MCP_FAQ</t>
  </si>
  <si>
    <t xml:space="preserve">Copilot Studio reference</t>
  </si>
  <si>
    <t xml:space="preserve">https://learn.microsoft.com/en-us/microsoft-copilot-studio/mcp-add-existing-server-to-agent</t>
  </si>
  <si>
    <t xml:space="preserve">Server URL pattern</t>
  </si>
  <si>
    <t xml:space="preserve">https://&lt;your-tenant&gt;.gainsightcloud.com/v1/ds-mcp/mcp</t>
  </si>
  <si>
    <t xml:space="preserve">Auth</t>
  </si>
  <si>
    <t xml:space="preserve">User-level OAuth 2.1 with PKCE, configured on an OAuth application in Gainsight CS</t>
  </si>
  <si>
    <t xml:space="preserve">Why the rows are capabilities</t>
  </si>
  <si>
    <t xml:space="preserve">Reason</t>
  </si>
  <si>
    <t xml:space="preserve">Gainsight documents supported capabilities rather than individual MCP tool names. Each row is a documented capability from the admin guide's read and write tables. Capture the discovered tool names after connecting in a test agent and add them before the final review.</t>
  </si>
  <si>
    <t xml:space="preserve">Facts for the InfoSec review</t>
  </si>
  <si>
    <t xml:space="preserve">Access control - raise this first</t>
  </si>
  <si>
    <t xml:space="preserve">The FAQ states there is no explicit control inside Gainsight to restrict MCP access to specific users; distribution is controlled on the LLM platform side. Access therefore depends on the Copilot agent's audience plus each user's own Gainsight permissions.</t>
  </si>
  <si>
    <t xml:space="preserve">Write path exists</t>
  </si>
  <si>
    <t xml:space="preserve">Unlike the 6sense connector, this one writes: CTAs, Tasks, Success Plans and Timeline activities can be created and updated. There is no draft state.</t>
  </si>
  <si>
    <t xml:space="preserve">Hard boundaries</t>
  </si>
  <si>
    <t xml:space="preserve">Deletes, company field updates, admin configuration and scorecard writes are not supported by the vendor - a useful, vendor-enforced limit to cite.</t>
  </si>
  <si>
    <t xml:space="preserve">Timeline free text</t>
  </si>
  <si>
    <t xml:space="preserve">Timeline activities are free-text notes written by CSMs and may contain sensitive customer information. The highest-variance read in the list.</t>
  </si>
  <si>
    <t xml:space="preserve">Prompt quality</t>
  </si>
  <si>
    <t xml:space="preserve">The vendor notes that the LLM picks tools from the prompt, so answer quality depends on prompt quality. Do not promise deterministic results in a demo.</t>
  </si>
  <si>
    <t xml:space="preserve">Orchestration</t>
  </si>
  <si>
    <t xml:space="preserve">In Copilot Studio, tool discovery succeeding does not guarantee the agent will call the server - invocation stays with Copilot's orchestrator.</t>
  </si>
  <si>
    <t xml:space="preserve">Open questions</t>
  </si>
  <si>
    <t xml:space="preserve">Owner</t>
  </si>
  <si>
    <t xml:space="preserve">Who is the Gainsight admin, and who owns the Copilot Studio agent?</t>
  </si>
  <si>
    <t xml:space="preserve">Pilot group</t>
  </si>
  <si>
    <t xml:space="preserve">Which CS team is the pilot, and does the agent's audience match that group?</t>
  </si>
  <si>
    <t xml:space="preserve">Read or write</t>
  </si>
  <si>
    <t xml:space="preserve">Is phase 1 read-only, or is Timeline logging from Copilot part of the ask? That single answer decides half this matrix.</t>
  </si>
  <si>
    <t xml:space="preserve">Licensing</t>
  </si>
  <si>
    <t xml:space="preserve">Confirm Copilot licences for the intended users before scheduling the demo.</t>
  </si>
  <si>
    <t xml:space="preserve">Breakdown</t>
  </si>
  <si>
    <t xml:space="preserve">Count</t>
  </si>
  <si>
    <t xml:space="preserve">Total rows</t>
  </si>
  <si>
    <t xml:space="preserve">Not supported by vendor</t>
  </si>
  <si>
    <t xml:space="preserve">Recommended - phase 1</t>
  </si>
  <si>
    <t xml:space="preserve">Recommended - phase 2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</si>
</sst>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2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3EEF9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3EE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EEF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E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70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56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s">
        <v>8</v>
      </c>
      <c r="B2" s="2" t="s">
        <v>9</v>
      </c>
      <c r="C2" s="3" t="s">
        <v>10</v>
      </c>
      <c r="D2" s="4" t="s">
        <v>11</v>
      </c>
      <c r="E2" s="2" t="s">
        <v>12</v>
      </c>
      <c r="F2" s="2" t="s">
        <v>13</v>
      </c>
      <c r="G2" s="4" t="s">
        <v>14</v>
      </c>
      <c r="H2" s="2" t="s">
        <v>15</v>
      </c>
    </row>
    <row r="3" customFormat="false" ht="57.45" hidden="false" customHeight="false" outlineLevel="0" collapsed="false">
      <c r="A3" s="2" t="s">
        <v>8</v>
      </c>
      <c r="B3" s="2" t="s">
        <v>16</v>
      </c>
      <c r="C3" s="3" t="s">
        <v>10</v>
      </c>
      <c r="D3" s="4" t="s">
        <v>17</v>
      </c>
      <c r="E3" s="2" t="s">
        <v>12</v>
      </c>
      <c r="F3" s="2" t="s">
        <v>13</v>
      </c>
      <c r="G3" s="4" t="s">
        <v>18</v>
      </c>
      <c r="H3" s="2" t="s">
        <v>19</v>
      </c>
    </row>
    <row r="4" customFormat="false" ht="35.05" hidden="false" customHeight="false" outlineLevel="0" collapsed="false">
      <c r="A4" s="2" t="s">
        <v>8</v>
      </c>
      <c r="B4" s="2" t="s">
        <v>20</v>
      </c>
      <c r="C4" s="3" t="s">
        <v>10</v>
      </c>
      <c r="D4" s="4" t="s">
        <v>21</v>
      </c>
      <c r="E4" s="2" t="s">
        <v>12</v>
      </c>
      <c r="F4" s="2" t="s">
        <v>13</v>
      </c>
      <c r="G4" s="4" t="s">
        <v>22</v>
      </c>
      <c r="H4" s="2" t="s">
        <v>23</v>
      </c>
    </row>
    <row r="5" customFormat="false" ht="15" hidden="false" customHeight="false" outlineLevel="0" collapsed="false">
      <c r="A5" s="2" t="s">
        <v>8</v>
      </c>
      <c r="B5" s="2" t="s">
        <v>24</v>
      </c>
      <c r="C5" s="2" t="s">
        <v>25</v>
      </c>
      <c r="D5" s="4" t="s">
        <v>26</v>
      </c>
      <c r="E5" s="2" t="s">
        <v>12</v>
      </c>
      <c r="F5" s="2" t="s">
        <v>13</v>
      </c>
      <c r="G5" s="4" t="s">
        <v>27</v>
      </c>
      <c r="H5" s="2" t="s">
        <v>28</v>
      </c>
    </row>
    <row r="6" customFormat="false" ht="15" hidden="false" customHeight="false" outlineLevel="0" collapsed="false">
      <c r="A6" s="2" t="s">
        <v>8</v>
      </c>
      <c r="B6" s="2" t="s">
        <v>29</v>
      </c>
      <c r="C6" s="2" t="s">
        <v>25</v>
      </c>
      <c r="D6" s="4" t="s">
        <v>30</v>
      </c>
      <c r="E6" s="2" t="s">
        <v>12</v>
      </c>
      <c r="F6" s="2" t="s">
        <v>13</v>
      </c>
      <c r="G6" s="4" t="s">
        <v>31</v>
      </c>
      <c r="H6" s="2" t="s">
        <v>28</v>
      </c>
    </row>
    <row r="7" customFormat="false" ht="15" hidden="false" customHeight="false" outlineLevel="0" collapsed="false">
      <c r="A7" s="2" t="s">
        <v>8</v>
      </c>
      <c r="B7" s="2" t="s">
        <v>32</v>
      </c>
      <c r="C7" s="2" t="s">
        <v>25</v>
      </c>
      <c r="D7" s="4" t="s">
        <v>33</v>
      </c>
      <c r="E7" s="2" t="s">
        <v>12</v>
      </c>
      <c r="F7" s="2" t="s">
        <v>13</v>
      </c>
      <c r="G7" s="4" t="s">
        <v>34</v>
      </c>
      <c r="H7" s="2" t="s">
        <v>28</v>
      </c>
    </row>
    <row r="8" customFormat="false" ht="15" hidden="false" customHeight="false" outlineLevel="0" collapsed="false">
      <c r="A8" s="2" t="s">
        <v>8</v>
      </c>
      <c r="B8" s="2" t="s">
        <v>35</v>
      </c>
      <c r="C8" s="2" t="s">
        <v>25</v>
      </c>
      <c r="D8" s="4" t="s">
        <v>36</v>
      </c>
      <c r="E8" s="2" t="s">
        <v>12</v>
      </c>
      <c r="F8" s="2" t="s">
        <v>13</v>
      </c>
      <c r="G8" s="4" t="s">
        <v>37</v>
      </c>
      <c r="H8" s="2" t="s">
        <v>28</v>
      </c>
    </row>
    <row r="9" customFormat="false" ht="23.85" hidden="false" customHeight="false" outlineLevel="0" collapsed="false">
      <c r="A9" s="2" t="s">
        <v>8</v>
      </c>
      <c r="B9" s="2" t="s">
        <v>38</v>
      </c>
      <c r="C9" s="2" t="s">
        <v>25</v>
      </c>
      <c r="D9" s="4" t="s">
        <v>39</v>
      </c>
      <c r="E9" s="2" t="s">
        <v>12</v>
      </c>
      <c r="F9" s="2" t="s">
        <v>13</v>
      </c>
      <c r="G9" s="4" t="s">
        <v>40</v>
      </c>
      <c r="H9" s="2" t="s">
        <v>28</v>
      </c>
    </row>
    <row r="10" customFormat="false" ht="23.85" hidden="false" customHeight="false" outlineLevel="0" collapsed="false">
      <c r="A10" s="2" t="s">
        <v>8</v>
      </c>
      <c r="B10" s="2" t="s">
        <v>41</v>
      </c>
      <c r="C10" s="2" t="s">
        <v>25</v>
      </c>
      <c r="D10" s="4" t="s">
        <v>42</v>
      </c>
      <c r="E10" s="2" t="s">
        <v>12</v>
      </c>
      <c r="F10" s="2" t="s">
        <v>13</v>
      </c>
      <c r="G10" s="4" t="s">
        <v>43</v>
      </c>
      <c r="H10" s="2" t="s">
        <v>28</v>
      </c>
    </row>
    <row r="11" customFormat="false" ht="15" hidden="false" customHeight="false" outlineLevel="0" collapsed="false">
      <c r="A11" s="2" t="s">
        <v>8</v>
      </c>
      <c r="B11" s="2" t="s">
        <v>44</v>
      </c>
      <c r="C11" s="2" t="s">
        <v>25</v>
      </c>
      <c r="D11" s="4" t="s">
        <v>45</v>
      </c>
      <c r="E11" s="2" t="s">
        <v>12</v>
      </c>
      <c r="F11" s="2" t="s">
        <v>13</v>
      </c>
      <c r="G11" s="4" t="s">
        <v>46</v>
      </c>
      <c r="H11" s="2" t="s">
        <v>28</v>
      </c>
    </row>
    <row r="12" customFormat="false" ht="23.85" hidden="false" customHeight="false" outlineLevel="0" collapsed="false">
      <c r="A12" s="2" t="s">
        <v>8</v>
      </c>
      <c r="B12" s="2" t="s">
        <v>47</v>
      </c>
      <c r="C12" s="2" t="s">
        <v>25</v>
      </c>
      <c r="D12" s="4" t="s">
        <v>48</v>
      </c>
      <c r="E12" s="2" t="s">
        <v>12</v>
      </c>
      <c r="F12" s="2" t="s">
        <v>13</v>
      </c>
      <c r="G12" s="4" t="s">
        <v>49</v>
      </c>
      <c r="H12" s="2" t="s">
        <v>28</v>
      </c>
    </row>
    <row r="13" customFormat="false" ht="23.85" hidden="false" customHeight="false" outlineLevel="0" collapsed="false">
      <c r="A13" s="2" t="s">
        <v>8</v>
      </c>
      <c r="B13" s="2" t="s">
        <v>50</v>
      </c>
      <c r="C13" s="2" t="s">
        <v>25</v>
      </c>
      <c r="D13" s="4" t="s">
        <v>51</v>
      </c>
      <c r="E13" s="2" t="s">
        <v>12</v>
      </c>
      <c r="F13" s="2" t="s">
        <v>13</v>
      </c>
      <c r="G13" s="4" t="s">
        <v>52</v>
      </c>
      <c r="H13" s="2" t="s">
        <v>28</v>
      </c>
    </row>
    <row r="14" customFormat="false" ht="15" hidden="false" customHeight="false" outlineLevel="0" collapsed="false">
      <c r="A14" s="2" t="s">
        <v>8</v>
      </c>
      <c r="B14" s="2" t="s">
        <v>53</v>
      </c>
      <c r="C14" s="2" t="s">
        <v>25</v>
      </c>
      <c r="D14" s="4" t="s">
        <v>54</v>
      </c>
      <c r="E14" s="2" t="s">
        <v>12</v>
      </c>
      <c r="F14" s="2" t="s">
        <v>13</v>
      </c>
      <c r="G14" s="4" t="s">
        <v>55</v>
      </c>
      <c r="H14" s="2" t="s">
        <v>28</v>
      </c>
    </row>
    <row r="15" customFormat="false" ht="23.85" hidden="false" customHeight="false" outlineLevel="0" collapsed="false">
      <c r="A15" s="2" t="s">
        <v>8</v>
      </c>
      <c r="B15" s="2" t="s">
        <v>56</v>
      </c>
      <c r="C15" s="2" t="s">
        <v>25</v>
      </c>
      <c r="D15" s="4" t="s">
        <v>57</v>
      </c>
      <c r="E15" s="2" t="s">
        <v>58</v>
      </c>
      <c r="F15" s="2" t="s">
        <v>13</v>
      </c>
      <c r="G15" s="4" t="s">
        <v>59</v>
      </c>
      <c r="H15" s="2" t="s">
        <v>28</v>
      </c>
    </row>
    <row r="16" customFormat="false" ht="23.85" hidden="false" customHeight="false" outlineLevel="0" collapsed="false">
      <c r="A16" s="2" t="s">
        <v>8</v>
      </c>
      <c r="B16" s="2" t="s">
        <v>60</v>
      </c>
      <c r="C16" s="5" t="s">
        <v>61</v>
      </c>
      <c r="D16" s="4" t="s">
        <v>62</v>
      </c>
      <c r="E16" s="2" t="s">
        <v>58</v>
      </c>
      <c r="F16" s="2" t="s">
        <v>13</v>
      </c>
      <c r="G16" s="4" t="s">
        <v>63</v>
      </c>
      <c r="H16" s="2" t="s">
        <v>28</v>
      </c>
    </row>
    <row r="17" customFormat="false" ht="23.85" hidden="false" customHeight="false" outlineLevel="0" collapsed="false">
      <c r="A17" s="2" t="s">
        <v>8</v>
      </c>
      <c r="B17" s="2" t="s">
        <v>64</v>
      </c>
      <c r="C17" s="5" t="s">
        <v>61</v>
      </c>
      <c r="D17" s="4" t="s">
        <v>65</v>
      </c>
      <c r="E17" s="2" t="s">
        <v>58</v>
      </c>
      <c r="F17" s="2" t="s">
        <v>13</v>
      </c>
      <c r="G17" s="4" t="s">
        <v>63</v>
      </c>
      <c r="H17" s="2" t="s">
        <v>28</v>
      </c>
    </row>
    <row r="18" customFormat="false" ht="23.85" hidden="false" customHeight="false" outlineLevel="0" collapsed="false">
      <c r="A18" s="2" t="s">
        <v>8</v>
      </c>
      <c r="B18" s="2" t="s">
        <v>66</v>
      </c>
      <c r="C18" s="5" t="s">
        <v>61</v>
      </c>
      <c r="D18" s="4" t="s">
        <v>67</v>
      </c>
      <c r="E18" s="2" t="s">
        <v>58</v>
      </c>
      <c r="F18" s="2" t="s">
        <v>13</v>
      </c>
      <c r="G18" s="4" t="s">
        <v>63</v>
      </c>
      <c r="H18" s="2" t="s">
        <v>28</v>
      </c>
    </row>
    <row r="19" customFormat="false" ht="23.85" hidden="false" customHeight="false" outlineLevel="0" collapsed="false">
      <c r="A19" s="2" t="s">
        <v>8</v>
      </c>
      <c r="B19" s="2" t="s">
        <v>68</v>
      </c>
      <c r="C19" s="5" t="s">
        <v>61</v>
      </c>
      <c r="D19" s="4" t="s">
        <v>69</v>
      </c>
      <c r="E19" s="2" t="s">
        <v>58</v>
      </c>
      <c r="F19" s="2" t="s">
        <v>13</v>
      </c>
      <c r="G19" s="4" t="s">
        <v>63</v>
      </c>
      <c r="H19" s="2" t="s">
        <v>28</v>
      </c>
    </row>
    <row r="20" customFormat="false" ht="23.85" hidden="false" customHeight="false" outlineLevel="0" collapsed="false">
      <c r="A20" s="2" t="s">
        <v>8</v>
      </c>
      <c r="B20" s="2" t="s">
        <v>70</v>
      </c>
      <c r="C20" s="5" t="s">
        <v>61</v>
      </c>
      <c r="D20" s="4" t="s">
        <v>71</v>
      </c>
      <c r="E20" s="2" t="s">
        <v>58</v>
      </c>
      <c r="F20" s="2" t="s">
        <v>13</v>
      </c>
      <c r="G20" s="4" t="s">
        <v>63</v>
      </c>
      <c r="H20" s="2" t="s">
        <v>28</v>
      </c>
    </row>
    <row r="21" customFormat="false" ht="23.85" hidden="false" customHeight="false" outlineLevel="0" collapsed="false">
      <c r="A21" s="2" t="s">
        <v>8</v>
      </c>
      <c r="B21" s="2" t="s">
        <v>72</v>
      </c>
      <c r="C21" s="5" t="s">
        <v>61</v>
      </c>
      <c r="D21" s="4" t="s">
        <v>73</v>
      </c>
      <c r="E21" s="2" t="s">
        <v>58</v>
      </c>
      <c r="F21" s="2" t="s">
        <v>13</v>
      </c>
      <c r="G21" s="4" t="s">
        <v>63</v>
      </c>
      <c r="H21" s="2" t="s">
        <v>28</v>
      </c>
    </row>
    <row r="22" customFormat="false" ht="23.85" hidden="false" customHeight="false" outlineLevel="0" collapsed="false">
      <c r="A22" s="2" t="s">
        <v>8</v>
      </c>
      <c r="B22" s="2" t="s">
        <v>74</v>
      </c>
      <c r="C22" s="5" t="s">
        <v>61</v>
      </c>
      <c r="D22" s="4" t="s">
        <v>75</v>
      </c>
      <c r="E22" s="2" t="s">
        <v>58</v>
      </c>
      <c r="F22" s="2" t="s">
        <v>13</v>
      </c>
      <c r="G22" s="4" t="s">
        <v>63</v>
      </c>
      <c r="H22" s="2" t="s">
        <v>28</v>
      </c>
    </row>
    <row r="23" customFormat="false" ht="23.85" hidden="false" customHeight="false" outlineLevel="0" collapsed="false">
      <c r="A23" s="2" t="s">
        <v>8</v>
      </c>
      <c r="B23" s="2" t="s">
        <v>76</v>
      </c>
      <c r="C23" s="6" t="s">
        <v>77</v>
      </c>
      <c r="D23" s="4" t="s">
        <v>78</v>
      </c>
      <c r="E23" s="2" t="s">
        <v>79</v>
      </c>
      <c r="F23" s="2" t="s">
        <v>13</v>
      </c>
      <c r="G23" s="4" t="s">
        <v>80</v>
      </c>
      <c r="H23" s="2" t="s">
        <v>28</v>
      </c>
    </row>
    <row r="24" customFormat="false" ht="23.85" hidden="false" customHeight="false" outlineLevel="0" collapsed="false">
      <c r="A24" s="2" t="s">
        <v>8</v>
      </c>
      <c r="B24" s="2" t="s">
        <v>81</v>
      </c>
      <c r="C24" s="6" t="s">
        <v>77</v>
      </c>
      <c r="D24" s="4" t="s">
        <v>82</v>
      </c>
      <c r="E24" s="2" t="s">
        <v>79</v>
      </c>
      <c r="F24" s="2" t="s">
        <v>13</v>
      </c>
      <c r="G24" s="4" t="s">
        <v>80</v>
      </c>
      <c r="H24" s="2" t="s">
        <v>28</v>
      </c>
    </row>
    <row r="25" customFormat="false" ht="23.85" hidden="false" customHeight="false" outlineLevel="0" collapsed="false">
      <c r="A25" s="2" t="s">
        <v>8</v>
      </c>
      <c r="B25" s="2" t="s">
        <v>83</v>
      </c>
      <c r="C25" s="6" t="s">
        <v>77</v>
      </c>
      <c r="D25" s="4" t="s">
        <v>84</v>
      </c>
      <c r="E25" s="2" t="s">
        <v>79</v>
      </c>
      <c r="F25" s="2" t="s">
        <v>13</v>
      </c>
      <c r="G25" s="4" t="s">
        <v>80</v>
      </c>
      <c r="H25" s="2" t="s">
        <v>28</v>
      </c>
    </row>
    <row r="26" customFormat="false" ht="23.85" hidden="false" customHeight="false" outlineLevel="0" collapsed="false">
      <c r="A26" s="2" t="s">
        <v>8</v>
      </c>
      <c r="B26" s="2" t="s">
        <v>85</v>
      </c>
      <c r="C26" s="6" t="s">
        <v>77</v>
      </c>
      <c r="D26" s="4" t="s">
        <v>86</v>
      </c>
      <c r="E26" s="2" t="s">
        <v>79</v>
      </c>
      <c r="F26" s="2" t="s">
        <v>13</v>
      </c>
      <c r="G26" s="4" t="s">
        <v>80</v>
      </c>
      <c r="H26" s="2" t="s">
        <v>28</v>
      </c>
    </row>
  </sheetData>
  <autoFilter ref="A1:H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6"/>
  </cols>
  <sheetData>
    <row r="1" customFormat="false" ht="15" hidden="false" customHeight="false" outlineLevel="0" collapsed="false">
      <c r="A1" s="7" t="s">
        <v>87</v>
      </c>
      <c r="B1" s="8"/>
    </row>
    <row r="2" customFormat="false" ht="23.85" hidden="false" customHeight="false" outlineLevel="0" collapsed="false">
      <c r="A2" s="9" t="s">
        <v>88</v>
      </c>
      <c r="B2" s="10" t="s">
        <v>89</v>
      </c>
    </row>
    <row r="3" customFormat="false" ht="15" hidden="false" customHeight="false" outlineLevel="0" collapsed="false">
      <c r="A3" s="9" t="s">
        <v>90</v>
      </c>
      <c r="B3" s="10" t="s">
        <v>91</v>
      </c>
    </row>
    <row r="4" customFormat="false" ht="15" hidden="false" customHeight="false" outlineLevel="0" collapsed="false">
      <c r="A4" s="9" t="s">
        <v>92</v>
      </c>
      <c r="B4" s="10" t="s">
        <v>93</v>
      </c>
    </row>
    <row r="5" customFormat="false" ht="15" hidden="false" customHeight="false" outlineLevel="0" collapsed="false">
      <c r="A5" s="9" t="s">
        <v>94</v>
      </c>
      <c r="B5" s="10" t="s">
        <v>95</v>
      </c>
    </row>
    <row r="6" customFormat="false" ht="15" hidden="false" customHeight="false" outlineLevel="0" collapsed="false">
      <c r="A6" s="9" t="s">
        <v>96</v>
      </c>
      <c r="B6" s="10" t="s">
        <v>97</v>
      </c>
    </row>
    <row r="7" customFormat="false" ht="15" hidden="false" customHeight="false" outlineLevel="0" collapsed="false">
      <c r="A7" s="9"/>
      <c r="B7" s="10"/>
    </row>
    <row r="8" customFormat="false" ht="15" hidden="false" customHeight="false" outlineLevel="0" collapsed="false">
      <c r="A8" s="11" t="s">
        <v>98</v>
      </c>
      <c r="B8" s="10"/>
    </row>
    <row r="9" customFormat="false" ht="35.05" hidden="false" customHeight="false" outlineLevel="0" collapsed="false">
      <c r="A9" s="9" t="s">
        <v>99</v>
      </c>
      <c r="B9" s="10" t="s">
        <v>100</v>
      </c>
    </row>
    <row r="10" customFormat="false" ht="15" hidden="false" customHeight="false" outlineLevel="0" collapsed="false">
      <c r="A10" s="9"/>
      <c r="B10" s="10"/>
    </row>
    <row r="11" customFormat="false" ht="15" hidden="false" customHeight="false" outlineLevel="0" collapsed="false">
      <c r="A11" s="11" t="s">
        <v>101</v>
      </c>
      <c r="B11" s="10"/>
    </row>
    <row r="12" customFormat="false" ht="35.05" hidden="false" customHeight="false" outlineLevel="0" collapsed="false">
      <c r="A12" s="9" t="s">
        <v>102</v>
      </c>
      <c r="B12" s="10" t="s">
        <v>103</v>
      </c>
    </row>
    <row r="13" customFormat="false" ht="23.85" hidden="false" customHeight="false" outlineLevel="0" collapsed="false">
      <c r="A13" s="9" t="s">
        <v>104</v>
      </c>
      <c r="B13" s="10" t="s">
        <v>105</v>
      </c>
    </row>
    <row r="14" customFormat="false" ht="23.85" hidden="false" customHeight="false" outlineLevel="0" collapsed="false">
      <c r="A14" s="9" t="s">
        <v>106</v>
      </c>
      <c r="B14" s="10" t="s">
        <v>107</v>
      </c>
    </row>
    <row r="15" customFormat="false" ht="23.85" hidden="false" customHeight="false" outlineLevel="0" collapsed="false">
      <c r="A15" s="9" t="s">
        <v>108</v>
      </c>
      <c r="B15" s="10" t="s">
        <v>109</v>
      </c>
    </row>
    <row r="16" customFormat="false" ht="23.85" hidden="false" customHeight="false" outlineLevel="0" collapsed="false">
      <c r="A16" s="9" t="s">
        <v>110</v>
      </c>
      <c r="B16" s="10" t="s">
        <v>111</v>
      </c>
    </row>
    <row r="17" customFormat="false" ht="23.85" hidden="false" customHeight="false" outlineLevel="0" collapsed="false">
      <c r="A17" s="9" t="s">
        <v>112</v>
      </c>
      <c r="B17" s="10" t="s">
        <v>113</v>
      </c>
    </row>
    <row r="18" customFormat="false" ht="15" hidden="false" customHeight="false" outlineLevel="0" collapsed="false">
      <c r="A18" s="9"/>
      <c r="B18" s="10"/>
    </row>
    <row r="19" customFormat="false" ht="15" hidden="false" customHeight="false" outlineLevel="0" collapsed="false">
      <c r="A19" s="11" t="s">
        <v>114</v>
      </c>
      <c r="B19" s="10"/>
    </row>
    <row r="20" customFormat="false" ht="15" hidden="false" customHeight="false" outlineLevel="0" collapsed="false">
      <c r="A20" s="9" t="s">
        <v>115</v>
      </c>
      <c r="B20" s="10" t="s">
        <v>116</v>
      </c>
    </row>
    <row r="21" customFormat="false" ht="15" hidden="false" customHeight="false" outlineLevel="0" collapsed="false">
      <c r="A21" s="9" t="s">
        <v>117</v>
      </c>
      <c r="B21" s="10" t="s">
        <v>118</v>
      </c>
    </row>
    <row r="22" customFormat="false" ht="15" hidden="false" customHeight="false" outlineLevel="0" collapsed="false">
      <c r="A22" s="9" t="s">
        <v>119</v>
      </c>
      <c r="B22" s="10" t="s">
        <v>120</v>
      </c>
    </row>
    <row r="23" customFormat="false" ht="15" hidden="false" customHeight="false" outlineLevel="0" collapsed="false">
      <c r="A23" s="9" t="s">
        <v>121</v>
      </c>
      <c r="B23" s="10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2" t="s">
        <v>123</v>
      </c>
      <c r="B1" s="12" t="s">
        <v>124</v>
      </c>
    </row>
    <row r="2" customFormat="false" ht="15" hidden="false" customHeight="false" outlineLevel="0" collapsed="false">
      <c r="A2" s="13" t="s">
        <v>125</v>
      </c>
      <c r="B2" s="13" t="n">
        <f aca="false">COUNTA('Gainsight CS MCP'!B2:B26)</f>
        <v>25</v>
      </c>
    </row>
    <row r="3" customFormat="false" ht="15" hidden="false" customHeight="false" outlineLevel="0" collapsed="false">
      <c r="A3" s="13" t="s">
        <v>10</v>
      </c>
      <c r="B3" s="13" t="n">
        <f aca="false">COUNTIF('Gainsight CS MCP'!C2:C26,"Setup / Auth")</f>
        <v>3</v>
      </c>
    </row>
    <row r="4" customFormat="false" ht="15" hidden="false" customHeight="false" outlineLevel="0" collapsed="false">
      <c r="A4" s="13" t="s">
        <v>25</v>
      </c>
      <c r="B4" s="13" t="n">
        <f aca="false">COUNTIF('Gainsight CS MCP'!C2:C26,"Read")</f>
        <v>11</v>
      </c>
    </row>
    <row r="5" customFormat="false" ht="15" hidden="false" customHeight="false" outlineLevel="0" collapsed="false">
      <c r="A5" s="13" t="s">
        <v>61</v>
      </c>
      <c r="B5" s="13" t="n">
        <f aca="false">COUNTIF('Gainsight CS MCP'!C2:C26,"Write")</f>
        <v>7</v>
      </c>
    </row>
    <row r="6" customFormat="false" ht="15" hidden="false" customHeight="false" outlineLevel="0" collapsed="false">
      <c r="A6" s="13" t="s">
        <v>126</v>
      </c>
      <c r="B6" s="13" t="n">
        <f aca="false">COUNTIF('Gainsight CS MCP'!C2:C26,"Not supported")</f>
        <v>4</v>
      </c>
    </row>
    <row r="7" customFormat="false" ht="15" hidden="false" customHeight="false" outlineLevel="0" collapsed="false">
      <c r="A7" s="13" t="s">
        <v>127</v>
      </c>
      <c r="B7" s="13" t="n">
        <f aca="false">COUNTIF('Gainsight CS MCP'!E2:E26,"Yes - phase 1 (read-only)")</f>
        <v>13</v>
      </c>
    </row>
    <row r="8" customFormat="false" ht="15" hidden="false" customHeight="false" outlineLevel="0" collapsed="false">
      <c r="A8" s="13" t="s">
        <v>128</v>
      </c>
      <c r="B8" s="13" t="n">
        <f aca="false">COUNTIF('Gainsight CS MCP'!E2:E26,"Yes - phase 2 (write, with owner sign-off)")</f>
        <v>8</v>
      </c>
    </row>
    <row r="9" customFormat="false" ht="15" hidden="false" customHeight="false" outlineLevel="0" collapsed="false">
      <c r="A9" s="13" t="s">
        <v>13</v>
      </c>
      <c r="B9" s="13" t="n">
        <f aca="false">COUNTIF('Gainsight CS MCP'!F2:F26,"Pending InfoSec review")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2026-08-11T14:32:33Z</dcterms:created>
  <dc:creator>openpyxl</dc:creator>
  <dc:description/>
  <dc:language>en-US</dc:language>
  <cp:lastModifiedBy/>
  <dcterms:modified xsi:type="dcterms:W3CDTF">2026-08-11T14:32:33Z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