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ZoomInfo MCP" sheetId="1" state="visible" r:id="rId3"/>
    <sheet name="Legend &amp; sources" sheetId="2" state="visible" r:id="rId4"/>
    <sheet name="Summary" sheetId="3" state="visible" r:id="rId5"/>
  </sheets>
  <definedNames>
    <definedName function="false" hidden="true" localSheetId="0" name="_xlnm._FilterDatabase" vbProcedure="false">'ZoomInfo MCP'!$A$1:$H$25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<sst xmlns="http://schemas.openxmlformats.org/spreadsheetml/2006/main" count="253" uniqueCount="137">
  <si>
    <t xml:space="preserve">connector</t>
  </si>
  <si>
    <t xml:space="preserve">action</t>
  </si>
  <si>
    <t xml:space="preserve">type</t>
  </si>
  <si>
    <t xml:space="preserve">description</t>
  </si>
  <si>
    <t xml:space="preserve">AI team recomends</t>
  </si>
  <si>
    <t xml:space="preserve">Status - Approved by InfoSec</t>
  </si>
  <si>
    <t xml:space="preserve">Comments</t>
  </si>
  <si>
    <t xml:space="preserve">platform</t>
  </si>
  <si>
    <t xml:space="preserve">ZoomInfo MCP</t>
  </si>
  <si>
    <t xml:space="preserve">Setup: add hosted remote connector + OAuth</t>
  </si>
  <si>
    <t xml:space="preserve">Setup / Auth</t>
  </si>
  <si>
    <t xml:space="preserve">Hosted server at https://mcp.zoominfo.com/mcp, streamable HTTP, nothing to install. Added as a connector, then each user signs in with their own ZoomInfo credentials via OAuth.</t>
  </si>
  <si>
    <t xml:space="preserve">Yes - phase 1 (free, read-only)</t>
  </si>
  <si>
    <t xml:space="preserve">Pending InfoSec review</t>
  </si>
  <si>
    <t xml:space="preserve">Requires a ZoomInfo subscription (Sales, Copilot, Studio or ZI Lite) and bulk data credits enabled - MCP does not work with recurring monthly credits. Per-user auth is the default; app-level auth exists for teams that need it.</t>
  </si>
  <si>
    <t xml:space="preserve">Claude (Enterprise custom connector / directory)</t>
  </si>
  <si>
    <t xml:space="preserve">Direct tool -&gt; Lookup</t>
  </si>
  <si>
    <t xml:space="preserve">Read (free)</t>
  </si>
  <si>
    <t xml:space="preserve">Returns valid filter values such as industries, regions and job functions.</t>
  </si>
  <si>
    <t xml:space="preserve">Free. Discovery helper the model calls before searching - no data leaves ZoomInfo beyond filter vocabulary.</t>
  </si>
  <si>
    <t xml:space="preserve">Direct tool -&gt; Search Companies</t>
  </si>
  <si>
    <t xml:space="preserve">Find companies by firmographic criteria.</t>
  </si>
  <si>
    <t xml:space="preserve">Free. Returns identification-level company data only.</t>
  </si>
  <si>
    <t xml:space="preserve">Direct tool -&gt; Search Contacts</t>
  </si>
  <si>
    <t xml:space="preserve">Find contacts by role, company or signal.</t>
  </si>
  <si>
    <t xml:space="preserve">Free, but returns person-level identification data. Confirm with privacy owner before enabling.</t>
  </si>
  <si>
    <t xml:space="preserve">Direct tool -&gt; Find Similar Companies</t>
  </si>
  <si>
    <t xml:space="preserve">Companies matching a given company's profile.</t>
  </si>
  <si>
    <t xml:space="preserve">Free. Prospecting expansion, company-level only.</t>
  </si>
  <si>
    <t xml:space="preserve">Direct tool -&gt; Find Similar Contacts</t>
  </si>
  <si>
    <t xml:space="preserve">Contacts matching a given contact's profile.</t>
  </si>
  <si>
    <t xml:space="preserve">Free, person-level. Same privacy consideration as Search Contacts.</t>
  </si>
  <si>
    <t xml:space="preserve">Direct tool -&gt; Find Recommended Contacts</t>
  </si>
  <si>
    <t xml:space="preserve">Outreach-ready contacts for a given account.</t>
  </si>
  <si>
    <t xml:space="preserve">Free, person-level. Core prospecting use case for the sales team.</t>
  </si>
  <si>
    <t xml:space="preserve">Direct tool -&gt; Search Intent</t>
  </si>
  <si>
    <t xml:space="preserve">Discover companies showing buyer intent signals.</t>
  </si>
  <si>
    <t xml:space="preserve">Free. Company-level intent data; commercially sensitive internally.</t>
  </si>
  <si>
    <t xml:space="preserve">Direct tool -&gt; Search Scoops</t>
  </si>
  <si>
    <t xml:space="preserve">Discover companies based on real-world business events.</t>
  </si>
  <si>
    <t xml:space="preserve">Free. Company-level events.</t>
  </si>
  <si>
    <t xml:space="preserve">Direct tool -&gt; Browse Audiences</t>
  </si>
  <si>
    <t xml:space="preserve">List and search the organisation's GTM Studio audiences.</t>
  </si>
  <si>
    <t xml:space="preserve">Free. Reads your own audience definitions.</t>
  </si>
  <si>
    <t xml:space="preserve">Direct tool -&gt; Get Audience</t>
  </si>
  <si>
    <t xml:space="preserve">Inspect one audience's columns and preview its rows.</t>
  </si>
  <si>
    <t xml:space="preserve">Free. Row preview may include contact records - check what your audiences contain.</t>
  </si>
  <si>
    <t xml:space="preserve">Direct tool -&gt; GTM Context</t>
  </si>
  <si>
    <t xml:space="preserve">Returns the user's role and the GTM context their AI needs about the organisation.</t>
  </si>
  <si>
    <t xml:space="preserve">Free. Exposes internal organisational context to the AI platform.</t>
  </si>
  <si>
    <t xml:space="preserve">Direct tool -&gt; Browse Engagements</t>
  </si>
  <si>
    <t xml:space="preserve">Build a timeline of your meetings and emails.</t>
  </si>
  <si>
    <t xml:space="preserve">Yes - phase 2 (consumes credits)</t>
  </si>
  <si>
    <t xml:space="preserve">Free in credits, but reads internal meeting and email activity. Treat as internal-communications data, not third-party data - the one 'free' tool that needs a real review.</t>
  </si>
  <si>
    <t xml:space="preserve">Direct tool -&gt; Enrich Companies</t>
  </si>
  <si>
    <t xml:space="preserve">Read (bulk data credits)</t>
  </si>
  <si>
    <t xml:space="preserve">Full firmographic detail on up to 25 companies per call.</t>
  </si>
  <si>
    <t xml:space="preserve">Spends bulk data credits per new record. Needs a named credit-budget owner before enabling.</t>
  </si>
  <si>
    <t xml:space="preserve">Direct tool -&gt; Enrich Contacts</t>
  </si>
  <si>
    <t xml:space="preserve">Full contact detail on up to 25 contacts per call.</t>
  </si>
  <si>
    <t xml:space="preserve">Highest-sensitivity tool: brings third-party personal data (business emails, phone numbers) into the AI platform. Privacy sign-off required.</t>
  </si>
  <si>
    <t xml:space="preserve">Direct tool -&gt; Enrich Company Signals</t>
  </si>
  <si>
    <t xml:space="preserve">Intent, news and scoops for up to 10 known companies in one call.</t>
  </si>
  <si>
    <t xml:space="preserve">Consolidated replacement for the three superseded enrichment tools below - enable this one instead of them.</t>
  </si>
  <si>
    <t xml:space="preserve">Direct tool -&gt; Enrich Intent</t>
  </si>
  <si>
    <t xml:space="preserve">Intent signals for a known company. Superseded by Enrich Company Signals.</t>
  </si>
  <si>
    <t xml:space="preserve">No - out of scope</t>
  </si>
  <si>
    <t xml:space="preserve">Superseded by the vendor. Listed for completeness only.</t>
  </si>
  <si>
    <t xml:space="preserve">Direct tool -&gt; Enrich Scoops</t>
  </si>
  <si>
    <t xml:space="preserve">Business-event scoops for a known company. Superseded by Enrich Company Signals.</t>
  </si>
  <si>
    <t xml:space="preserve">Direct tool -&gt; Enrich News</t>
  </si>
  <si>
    <t xml:space="preserve">Categorised news for a known company. Superseded by Enrich Company Signals.</t>
  </si>
  <si>
    <t xml:space="preserve">Context agent -&gt; Account Research</t>
  </si>
  <si>
    <t xml:space="preserve">Agent (AI action credits)</t>
  </si>
  <si>
    <t xml:space="preserve">Full intelligence briefing on a company; a sub-agent layer synthesises large payloads and blends ZoomInfo data with the organisation's own CRM and conversation history.</t>
  </si>
  <si>
    <t xml:space="preserve">Spends AI action credits. Output is synthesised, not raw records - treat as advisory. Blends first-party CRM data, so scope depends on the user's CRM access.</t>
  </si>
  <si>
    <t xml:space="preserve">Context agent -&gt; Contact Research</t>
  </si>
  <si>
    <t xml:space="preserve">Full intelligence briefing on a single contact.</t>
  </si>
  <si>
    <t xml:space="preserve">Person-level synthesis. Same privacy consideration as Enrich Contacts, plus AI action credits.</t>
  </si>
  <si>
    <t xml:space="preserve">Context agent -&gt; Conversation Intelligence</t>
  </si>
  <si>
    <t xml:space="preserve">Analyse what was said, agreed or pushed back on across calls, meetings and emails.</t>
  </si>
  <si>
    <t xml:space="preserve">Reads recorded internal customer conversations. Out of scope for a first rollout - this needs its own review with legal, including call-recording consent.</t>
  </si>
  <si>
    <t xml:space="preserve">Context agent -&gt; Update GTM Context</t>
  </si>
  <si>
    <t xml:space="preserve">Write (AI action credits)</t>
  </si>
  <si>
    <t xml:space="preserve">Synthesise unstructured content into GTM configuration, or edit existing records.</t>
  </si>
  <si>
    <t xml:space="preserve">The only write path in the whole server. Excluded from v1; if the requester wants it, it becomes a separate approval.</t>
  </si>
  <si>
    <t xml:space="preserve">Roadmap -&gt; WebSights</t>
  </si>
  <si>
    <t xml:space="preserve">Not available</t>
  </si>
  <si>
    <t xml:space="preserve">Understand who has been visiting your website. Listed by the vendor as future roadmap.</t>
  </si>
  <si>
    <t xml:space="preserve">N/A - not available</t>
  </si>
  <si>
    <t xml:space="preserve">Not available today. Listed so the review sees the boundary and nobody promises it in a demo.</t>
  </si>
  <si>
    <t xml:space="preserve">ZoomInfo MCP - connectors matrix</t>
  </si>
  <si>
    <t xml:space="preserve">Tool reference</t>
  </si>
  <si>
    <t xml:space="preserve">https://gtm.ai/docs/mcp/tools (updated 30 June 2026) - full tool list with credit costs</t>
  </si>
  <si>
    <t xml:space="preserve">Overview</t>
  </si>
  <si>
    <t xml:space="preserve">https://gtm.ai/docs/mcp</t>
  </si>
  <si>
    <t xml:space="preserve">Credits and billing</t>
  </si>
  <si>
    <t xml:space="preserve">https://gtm.ai/docs/mcp/credits</t>
  </si>
  <si>
    <t xml:space="preserve">Security and data</t>
  </si>
  <si>
    <t xml:space="preserve">https://gtm.ai/docs/mcp/security</t>
  </si>
  <si>
    <t xml:space="preserve">Server URL</t>
  </si>
  <si>
    <t xml:space="preserve">https://mcp.zoominfo.com/mcp (hosted, streamable HTTP, nothing to install)</t>
  </si>
  <si>
    <t xml:space="preserve">How to read the type column</t>
  </si>
  <si>
    <t xml:space="preserve">Search and lookup tools; return identification-level data at no credit cost.</t>
  </si>
  <si>
    <t xml:space="preserve">Enrichment tools; spend a bulk data credit per new record.</t>
  </si>
  <si>
    <t xml:space="preserve">Sub-agent layer that synthesises large payloads and returns a briefing rather than raw records.</t>
  </si>
  <si>
    <t xml:space="preserve">Edits records or GTM configuration. Only one tool falls here.</t>
  </si>
  <si>
    <t xml:space="preserve">Facts for the InfoSec review</t>
  </si>
  <si>
    <t xml:space="preserve">Preview-then-enrich</t>
  </si>
  <si>
    <t xml:space="preserve">Search returns free identification-level data; enrichment spends credits only on explicit approval. That two-step pattern is the natural place to draw the phase 1 / phase 2 line.</t>
  </si>
  <si>
    <t xml:space="preserve">Almost entirely read</t>
  </si>
  <si>
    <t xml:space="preserve">Of the documented tools, only Update GTM Context writes. Everything else retrieves.</t>
  </si>
  <si>
    <t xml:space="preserve">Third-party personal data</t>
  </si>
  <si>
    <t xml:space="preserve">Contact search and contact enrichment bring business contact details for people outside the company into the AI platform. This is the review's centre of gravity - confirm the lawful basis with the privacy owner, especially for EU-based contacts.</t>
  </si>
  <si>
    <t xml:space="preserve">Internal data too</t>
  </si>
  <si>
    <t xml:space="preserve">Browse Engagements, Conversation Intelligence and Account Research read internal meetings, emails and CRM records - not only third-party data.</t>
  </si>
  <si>
    <t xml:space="preserve">New tools appear automatically</t>
  </si>
  <si>
    <t xml:space="preserve">The vendor publishes new tools that become available at the start of the next session with no configuration. The approved list can therefore drift - agree a re-review cadence and note the review date on this sheet.</t>
  </si>
  <si>
    <t xml:space="preserve">Credit consumption</t>
  </si>
  <si>
    <t xml:space="preserve">Every enrichment and every agent call spends budget. Name the credit owner before rollout, not after the first invoice.</t>
  </si>
  <si>
    <t xml:space="preserve">Open questions</t>
  </si>
  <si>
    <t xml:space="preserve">Subscription tier</t>
  </si>
  <si>
    <t xml:space="preserve">Which ZoomInfo subscription do we hold, and are bulk data credits enabled? MCP does not work with recurring monthly credits.</t>
  </si>
  <si>
    <t xml:space="preserve">Individual logins</t>
  </si>
  <si>
    <t xml:space="preserve">Do the sales users have individual ZoomInfo logins, or would we need app-level authentication?</t>
  </si>
  <si>
    <t xml:space="preserve">Credit budget</t>
  </si>
  <si>
    <t xml:space="preserve">Who owns credit consumption, and is there a cap per user?</t>
  </si>
  <si>
    <t xml:space="preserve">Re-review cadence</t>
  </si>
  <si>
    <t xml:space="preserve">How often do we re-check the tool list, given that new tools appear automatically?</t>
  </si>
  <si>
    <t xml:space="preserve">Breakdown</t>
  </si>
  <si>
    <t xml:space="preserve">Count</t>
  </si>
  <si>
    <t xml:space="preserve">Total rows</t>
  </si>
  <si>
    <t xml:space="preserve">Context agents</t>
  </si>
  <si>
    <t xml:space="preserve">Write</t>
  </si>
  <si>
    <t xml:space="preserve">Recommended - phase 1</t>
  </si>
  <si>
    <t xml:space="preserve">Recommended - phase 2</t>
  </si>
  <si>
    <t xml:space="preserve">Out of scope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</si>
</sst>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sz val="12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E3EEF9"/>
        <bgColor rgb="FFEDEDED"/>
      </patternFill>
    </fill>
    <fill>
      <patternFill patternType="solid">
        <fgColor rgb="FFFFF7E6"/>
        <bgColor rgb="FFFFF2CC"/>
      </patternFill>
    </fill>
    <fill>
      <patternFill patternType="solid">
        <fgColor rgb="FFFFF2CC"/>
        <bgColor rgb="FFFFF7E6"/>
      </patternFill>
    </fill>
    <fill>
      <patternFill patternType="solid">
        <fgColor rgb="FFFCE4E4"/>
        <bgColor rgb="FFEDEDED"/>
      </patternFill>
    </fill>
    <fill>
      <patternFill patternType="solid">
        <fgColor rgb="FFEDEDED"/>
        <bgColor rgb="FFE3EE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2E75B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3EEF9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CE4E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7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3EEF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CFFCC"/>
      <rgbColor rgb="FFFFF7E6"/>
      <rgbColor rgb="FF99CCFF"/>
      <rgbColor rgb="FFFF99CC"/>
      <rgbColor rgb="FFCC99FF"/>
      <rgbColor rgb="FFFCE4E4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0"/>
    <col collapsed="false" customWidth="true" hidden="false" outlineLevel="0" max="3" min="3" style="0" width="24"/>
    <col collapsed="false" customWidth="true" hidden="false" outlineLevel="0" max="4" min="4" style="0" width="68"/>
    <col collapsed="false" customWidth="true" hidden="false" outlineLevel="0" max="5" min="5" style="0" width="28"/>
    <col collapsed="false" customWidth="true" hidden="false" outlineLevel="0" max="6" min="6" style="0" width="24"/>
    <col collapsed="false" customWidth="true" hidden="false" outlineLevel="0" max="7" min="7" style="0" width="58"/>
    <col collapsed="false" customWidth="true" hidden="false" outlineLevel="0" max="8" min="8" style="0" width="32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46.25" hidden="false" customHeight="false" outlineLevel="0" collapsed="false">
      <c r="A2" s="2" t="s">
        <v>8</v>
      </c>
      <c r="B2" s="2" t="s">
        <v>9</v>
      </c>
      <c r="C2" s="3" t="s">
        <v>10</v>
      </c>
      <c r="D2" s="4" t="s">
        <v>11</v>
      </c>
      <c r="E2" s="2" t="s">
        <v>12</v>
      </c>
      <c r="F2" s="2" t="s">
        <v>13</v>
      </c>
      <c r="G2" s="4" t="s">
        <v>14</v>
      </c>
      <c r="H2" s="2" t="s">
        <v>15</v>
      </c>
    </row>
    <row r="3" customFormat="false" ht="23.85" hidden="false" customHeight="false" outlineLevel="0" collapsed="false">
      <c r="A3" s="2" t="s">
        <v>8</v>
      </c>
      <c r="B3" s="2" t="s">
        <v>16</v>
      </c>
      <c r="C3" s="2" t="s">
        <v>17</v>
      </c>
      <c r="D3" s="4" t="s">
        <v>18</v>
      </c>
      <c r="E3" s="2" t="s">
        <v>12</v>
      </c>
      <c r="F3" s="2" t="s">
        <v>13</v>
      </c>
      <c r="G3" s="4" t="s">
        <v>19</v>
      </c>
      <c r="H3" s="2" t="s">
        <v>15</v>
      </c>
    </row>
    <row r="4" customFormat="false" ht="15" hidden="false" customHeight="false" outlineLevel="0" collapsed="false">
      <c r="A4" s="2" t="s">
        <v>8</v>
      </c>
      <c r="B4" s="2" t="s">
        <v>20</v>
      </c>
      <c r="C4" s="2" t="s">
        <v>17</v>
      </c>
      <c r="D4" s="4" t="s">
        <v>21</v>
      </c>
      <c r="E4" s="2" t="s">
        <v>12</v>
      </c>
      <c r="F4" s="2" t="s">
        <v>13</v>
      </c>
      <c r="G4" s="4" t="s">
        <v>22</v>
      </c>
      <c r="H4" s="2" t="s">
        <v>15</v>
      </c>
    </row>
    <row r="5" customFormat="false" ht="23.85" hidden="false" customHeight="false" outlineLevel="0" collapsed="false">
      <c r="A5" s="2" t="s">
        <v>8</v>
      </c>
      <c r="B5" s="2" t="s">
        <v>23</v>
      </c>
      <c r="C5" s="2" t="s">
        <v>17</v>
      </c>
      <c r="D5" s="4" t="s">
        <v>24</v>
      </c>
      <c r="E5" s="2" t="s">
        <v>12</v>
      </c>
      <c r="F5" s="2" t="s">
        <v>13</v>
      </c>
      <c r="G5" s="4" t="s">
        <v>25</v>
      </c>
      <c r="H5" s="2" t="s">
        <v>15</v>
      </c>
    </row>
    <row r="6" customFormat="false" ht="15" hidden="false" customHeight="false" outlineLevel="0" collapsed="false">
      <c r="A6" s="2" t="s">
        <v>8</v>
      </c>
      <c r="B6" s="2" t="s">
        <v>26</v>
      </c>
      <c r="C6" s="2" t="s">
        <v>17</v>
      </c>
      <c r="D6" s="4" t="s">
        <v>27</v>
      </c>
      <c r="E6" s="2" t="s">
        <v>12</v>
      </c>
      <c r="F6" s="2" t="s">
        <v>13</v>
      </c>
      <c r="G6" s="4" t="s">
        <v>28</v>
      </c>
      <c r="H6" s="2" t="s">
        <v>15</v>
      </c>
    </row>
    <row r="7" customFormat="false" ht="15" hidden="false" customHeight="false" outlineLevel="0" collapsed="false">
      <c r="A7" s="2" t="s">
        <v>8</v>
      </c>
      <c r="B7" s="2" t="s">
        <v>29</v>
      </c>
      <c r="C7" s="2" t="s">
        <v>17</v>
      </c>
      <c r="D7" s="4" t="s">
        <v>30</v>
      </c>
      <c r="E7" s="2" t="s">
        <v>12</v>
      </c>
      <c r="F7" s="2" t="s">
        <v>13</v>
      </c>
      <c r="G7" s="4" t="s">
        <v>31</v>
      </c>
      <c r="H7" s="2" t="s">
        <v>15</v>
      </c>
    </row>
    <row r="8" customFormat="false" ht="15" hidden="false" customHeight="false" outlineLevel="0" collapsed="false">
      <c r="A8" s="2" t="s">
        <v>8</v>
      </c>
      <c r="B8" s="2" t="s">
        <v>32</v>
      </c>
      <c r="C8" s="2" t="s">
        <v>17</v>
      </c>
      <c r="D8" s="4" t="s">
        <v>33</v>
      </c>
      <c r="E8" s="2" t="s">
        <v>12</v>
      </c>
      <c r="F8" s="2" t="s">
        <v>13</v>
      </c>
      <c r="G8" s="4" t="s">
        <v>34</v>
      </c>
      <c r="H8" s="2" t="s">
        <v>15</v>
      </c>
    </row>
    <row r="9" customFormat="false" ht="15" hidden="false" customHeight="false" outlineLevel="0" collapsed="false">
      <c r="A9" s="2" t="s">
        <v>8</v>
      </c>
      <c r="B9" s="2" t="s">
        <v>35</v>
      </c>
      <c r="C9" s="2" t="s">
        <v>17</v>
      </c>
      <c r="D9" s="4" t="s">
        <v>36</v>
      </c>
      <c r="E9" s="2" t="s">
        <v>12</v>
      </c>
      <c r="F9" s="2" t="s">
        <v>13</v>
      </c>
      <c r="G9" s="4" t="s">
        <v>37</v>
      </c>
      <c r="H9" s="2" t="s">
        <v>15</v>
      </c>
    </row>
    <row r="10" customFormat="false" ht="15" hidden="false" customHeight="false" outlineLevel="0" collapsed="false">
      <c r="A10" s="2" t="s">
        <v>8</v>
      </c>
      <c r="B10" s="2" t="s">
        <v>38</v>
      </c>
      <c r="C10" s="2" t="s">
        <v>17</v>
      </c>
      <c r="D10" s="4" t="s">
        <v>39</v>
      </c>
      <c r="E10" s="2" t="s">
        <v>12</v>
      </c>
      <c r="F10" s="2" t="s">
        <v>13</v>
      </c>
      <c r="G10" s="4" t="s">
        <v>40</v>
      </c>
      <c r="H10" s="2" t="s">
        <v>15</v>
      </c>
    </row>
    <row r="11" customFormat="false" ht="15" hidden="false" customHeight="false" outlineLevel="0" collapsed="false">
      <c r="A11" s="2" t="s">
        <v>8</v>
      </c>
      <c r="B11" s="2" t="s">
        <v>41</v>
      </c>
      <c r="C11" s="2" t="s">
        <v>17</v>
      </c>
      <c r="D11" s="4" t="s">
        <v>42</v>
      </c>
      <c r="E11" s="2" t="s">
        <v>12</v>
      </c>
      <c r="F11" s="2" t="s">
        <v>13</v>
      </c>
      <c r="G11" s="4" t="s">
        <v>43</v>
      </c>
      <c r="H11" s="2" t="s">
        <v>15</v>
      </c>
    </row>
    <row r="12" customFormat="false" ht="23.85" hidden="false" customHeight="false" outlineLevel="0" collapsed="false">
      <c r="A12" s="2" t="s">
        <v>8</v>
      </c>
      <c r="B12" s="2" t="s">
        <v>44</v>
      </c>
      <c r="C12" s="2" t="s">
        <v>17</v>
      </c>
      <c r="D12" s="4" t="s">
        <v>45</v>
      </c>
      <c r="E12" s="2" t="s">
        <v>12</v>
      </c>
      <c r="F12" s="2" t="s">
        <v>13</v>
      </c>
      <c r="G12" s="4" t="s">
        <v>46</v>
      </c>
      <c r="H12" s="2" t="s">
        <v>15</v>
      </c>
    </row>
    <row r="13" customFormat="false" ht="15" hidden="false" customHeight="false" outlineLevel="0" collapsed="false">
      <c r="A13" s="2" t="s">
        <v>8</v>
      </c>
      <c r="B13" s="2" t="s">
        <v>47</v>
      </c>
      <c r="C13" s="2" t="s">
        <v>17</v>
      </c>
      <c r="D13" s="4" t="s">
        <v>48</v>
      </c>
      <c r="E13" s="2" t="s">
        <v>12</v>
      </c>
      <c r="F13" s="2" t="s">
        <v>13</v>
      </c>
      <c r="G13" s="4" t="s">
        <v>49</v>
      </c>
      <c r="H13" s="2" t="s">
        <v>15</v>
      </c>
    </row>
    <row r="14" customFormat="false" ht="35.05" hidden="false" customHeight="false" outlineLevel="0" collapsed="false">
      <c r="A14" s="2" t="s">
        <v>8</v>
      </c>
      <c r="B14" s="2" t="s">
        <v>50</v>
      </c>
      <c r="C14" s="2" t="s">
        <v>17</v>
      </c>
      <c r="D14" s="4" t="s">
        <v>51</v>
      </c>
      <c r="E14" s="2" t="s">
        <v>52</v>
      </c>
      <c r="F14" s="2" t="s">
        <v>13</v>
      </c>
      <c r="G14" s="4" t="s">
        <v>53</v>
      </c>
      <c r="H14" s="2" t="s">
        <v>15</v>
      </c>
    </row>
    <row r="15" customFormat="false" ht="23.85" hidden="false" customHeight="false" outlineLevel="0" collapsed="false">
      <c r="A15" s="2" t="s">
        <v>8</v>
      </c>
      <c r="B15" s="2" t="s">
        <v>54</v>
      </c>
      <c r="C15" s="5" t="s">
        <v>55</v>
      </c>
      <c r="D15" s="4" t="s">
        <v>56</v>
      </c>
      <c r="E15" s="2" t="s">
        <v>52</v>
      </c>
      <c r="F15" s="2" t="s">
        <v>13</v>
      </c>
      <c r="G15" s="4" t="s">
        <v>57</v>
      </c>
      <c r="H15" s="2" t="s">
        <v>15</v>
      </c>
    </row>
    <row r="16" customFormat="false" ht="23.85" hidden="false" customHeight="false" outlineLevel="0" collapsed="false">
      <c r="A16" s="2" t="s">
        <v>8</v>
      </c>
      <c r="B16" s="2" t="s">
        <v>58</v>
      </c>
      <c r="C16" s="5" t="s">
        <v>55</v>
      </c>
      <c r="D16" s="4" t="s">
        <v>59</v>
      </c>
      <c r="E16" s="2" t="s">
        <v>52</v>
      </c>
      <c r="F16" s="2" t="s">
        <v>13</v>
      </c>
      <c r="G16" s="4" t="s">
        <v>60</v>
      </c>
      <c r="H16" s="2" t="s">
        <v>15</v>
      </c>
    </row>
    <row r="17" customFormat="false" ht="23.85" hidden="false" customHeight="false" outlineLevel="0" collapsed="false">
      <c r="A17" s="2" t="s">
        <v>8</v>
      </c>
      <c r="B17" s="2" t="s">
        <v>61</v>
      </c>
      <c r="C17" s="5" t="s">
        <v>55</v>
      </c>
      <c r="D17" s="4" t="s">
        <v>62</v>
      </c>
      <c r="E17" s="2" t="s">
        <v>52</v>
      </c>
      <c r="F17" s="2" t="s">
        <v>13</v>
      </c>
      <c r="G17" s="4" t="s">
        <v>63</v>
      </c>
      <c r="H17" s="2" t="s">
        <v>15</v>
      </c>
    </row>
    <row r="18" customFormat="false" ht="15" hidden="false" customHeight="false" outlineLevel="0" collapsed="false">
      <c r="A18" s="2" t="s">
        <v>8</v>
      </c>
      <c r="B18" s="2" t="s">
        <v>64</v>
      </c>
      <c r="C18" s="5" t="s">
        <v>55</v>
      </c>
      <c r="D18" s="4" t="s">
        <v>65</v>
      </c>
      <c r="E18" s="2" t="s">
        <v>66</v>
      </c>
      <c r="F18" s="2" t="s">
        <v>13</v>
      </c>
      <c r="G18" s="4" t="s">
        <v>67</v>
      </c>
      <c r="H18" s="2" t="s">
        <v>15</v>
      </c>
    </row>
    <row r="19" customFormat="false" ht="23.85" hidden="false" customHeight="false" outlineLevel="0" collapsed="false">
      <c r="A19" s="2" t="s">
        <v>8</v>
      </c>
      <c r="B19" s="2" t="s">
        <v>68</v>
      </c>
      <c r="C19" s="5" t="s">
        <v>55</v>
      </c>
      <c r="D19" s="4" t="s">
        <v>69</v>
      </c>
      <c r="E19" s="2" t="s">
        <v>66</v>
      </c>
      <c r="F19" s="2" t="s">
        <v>13</v>
      </c>
      <c r="G19" s="4" t="s">
        <v>67</v>
      </c>
      <c r="H19" s="2" t="s">
        <v>15</v>
      </c>
    </row>
    <row r="20" customFormat="false" ht="15" hidden="false" customHeight="false" outlineLevel="0" collapsed="false">
      <c r="A20" s="2" t="s">
        <v>8</v>
      </c>
      <c r="B20" s="2" t="s">
        <v>70</v>
      </c>
      <c r="C20" s="5" t="s">
        <v>55</v>
      </c>
      <c r="D20" s="4" t="s">
        <v>71</v>
      </c>
      <c r="E20" s="2" t="s">
        <v>66</v>
      </c>
      <c r="F20" s="2" t="s">
        <v>13</v>
      </c>
      <c r="G20" s="4" t="s">
        <v>67</v>
      </c>
      <c r="H20" s="2" t="s">
        <v>15</v>
      </c>
    </row>
    <row r="21" customFormat="false" ht="35.05" hidden="false" customHeight="false" outlineLevel="0" collapsed="false">
      <c r="A21" s="2" t="s">
        <v>8</v>
      </c>
      <c r="B21" s="2" t="s">
        <v>72</v>
      </c>
      <c r="C21" s="6" t="s">
        <v>73</v>
      </c>
      <c r="D21" s="4" t="s">
        <v>74</v>
      </c>
      <c r="E21" s="2" t="s">
        <v>52</v>
      </c>
      <c r="F21" s="2" t="s">
        <v>13</v>
      </c>
      <c r="G21" s="4" t="s">
        <v>75</v>
      </c>
      <c r="H21" s="2" t="s">
        <v>15</v>
      </c>
    </row>
    <row r="22" customFormat="false" ht="23.85" hidden="false" customHeight="false" outlineLevel="0" collapsed="false">
      <c r="A22" s="2" t="s">
        <v>8</v>
      </c>
      <c r="B22" s="2" t="s">
        <v>76</v>
      </c>
      <c r="C22" s="6" t="s">
        <v>73</v>
      </c>
      <c r="D22" s="4" t="s">
        <v>77</v>
      </c>
      <c r="E22" s="2" t="s">
        <v>52</v>
      </c>
      <c r="F22" s="2" t="s">
        <v>13</v>
      </c>
      <c r="G22" s="4" t="s">
        <v>78</v>
      </c>
      <c r="H22" s="2" t="s">
        <v>15</v>
      </c>
    </row>
    <row r="23" customFormat="false" ht="35.05" hidden="false" customHeight="false" outlineLevel="0" collapsed="false">
      <c r="A23" s="2" t="s">
        <v>8</v>
      </c>
      <c r="B23" s="2" t="s">
        <v>79</v>
      </c>
      <c r="C23" s="6" t="s">
        <v>73</v>
      </c>
      <c r="D23" s="4" t="s">
        <v>80</v>
      </c>
      <c r="E23" s="2" t="s">
        <v>66</v>
      </c>
      <c r="F23" s="2" t="s">
        <v>13</v>
      </c>
      <c r="G23" s="4" t="s">
        <v>81</v>
      </c>
      <c r="H23" s="2" t="s">
        <v>15</v>
      </c>
    </row>
    <row r="24" customFormat="false" ht="23.85" hidden="false" customHeight="false" outlineLevel="0" collapsed="false">
      <c r="A24" s="2" t="s">
        <v>8</v>
      </c>
      <c r="B24" s="2" t="s">
        <v>82</v>
      </c>
      <c r="C24" s="7" t="s">
        <v>83</v>
      </c>
      <c r="D24" s="4" t="s">
        <v>84</v>
      </c>
      <c r="E24" s="2" t="s">
        <v>66</v>
      </c>
      <c r="F24" s="2" t="s">
        <v>13</v>
      </c>
      <c r="G24" s="4" t="s">
        <v>85</v>
      </c>
      <c r="H24" s="2" t="s">
        <v>15</v>
      </c>
    </row>
    <row r="25" customFormat="false" ht="23.85" hidden="false" customHeight="false" outlineLevel="0" collapsed="false">
      <c r="A25" s="2" t="s">
        <v>8</v>
      </c>
      <c r="B25" s="2" t="s">
        <v>86</v>
      </c>
      <c r="C25" s="8" t="s">
        <v>87</v>
      </c>
      <c r="D25" s="4" t="s">
        <v>88</v>
      </c>
      <c r="E25" s="2" t="s">
        <v>89</v>
      </c>
      <c r="F25" s="2" t="s">
        <v>13</v>
      </c>
      <c r="G25" s="4" t="s">
        <v>90</v>
      </c>
      <c r="H25" s="2" t="s">
        <v>15</v>
      </c>
    </row>
  </sheetData>
  <autoFilter ref="A1:H2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96"/>
  </cols>
  <sheetData>
    <row r="1" customFormat="false" ht="15" hidden="false" customHeight="false" outlineLevel="0" collapsed="false">
      <c r="A1" s="9" t="s">
        <v>91</v>
      </c>
      <c r="B1" s="10"/>
    </row>
    <row r="2" customFormat="false" ht="15" hidden="false" customHeight="false" outlineLevel="0" collapsed="false">
      <c r="A2" s="11" t="s">
        <v>92</v>
      </c>
      <c r="B2" s="12" t="s">
        <v>93</v>
      </c>
    </row>
    <row r="3" customFormat="false" ht="15" hidden="false" customHeight="false" outlineLevel="0" collapsed="false">
      <c r="A3" s="11" t="s">
        <v>94</v>
      </c>
      <c r="B3" s="12" t="s">
        <v>95</v>
      </c>
    </row>
    <row r="4" customFormat="false" ht="15" hidden="false" customHeight="false" outlineLevel="0" collapsed="false">
      <c r="A4" s="11" t="s">
        <v>96</v>
      </c>
      <c r="B4" s="12" t="s">
        <v>97</v>
      </c>
    </row>
    <row r="5" customFormat="false" ht="15" hidden="false" customHeight="false" outlineLevel="0" collapsed="false">
      <c r="A5" s="11" t="s">
        <v>98</v>
      </c>
      <c r="B5" s="12" t="s">
        <v>99</v>
      </c>
    </row>
    <row r="6" customFormat="false" ht="15" hidden="false" customHeight="false" outlineLevel="0" collapsed="false">
      <c r="A6" s="11" t="s">
        <v>100</v>
      </c>
      <c r="B6" s="12" t="s">
        <v>101</v>
      </c>
    </row>
    <row r="7" customFormat="false" ht="15" hidden="false" customHeight="false" outlineLevel="0" collapsed="false">
      <c r="A7" s="11"/>
      <c r="B7" s="12"/>
    </row>
    <row r="8" customFormat="false" ht="15" hidden="false" customHeight="false" outlineLevel="0" collapsed="false">
      <c r="A8" s="13" t="s">
        <v>102</v>
      </c>
      <c r="B8" s="12"/>
    </row>
    <row r="9" customFormat="false" ht="15" hidden="false" customHeight="false" outlineLevel="0" collapsed="false">
      <c r="A9" s="11" t="s">
        <v>17</v>
      </c>
      <c r="B9" s="12" t="s">
        <v>103</v>
      </c>
    </row>
    <row r="10" customFormat="false" ht="15" hidden="false" customHeight="false" outlineLevel="0" collapsed="false">
      <c r="A10" s="11" t="s">
        <v>55</v>
      </c>
      <c r="B10" s="12" t="s">
        <v>104</v>
      </c>
    </row>
    <row r="11" customFormat="false" ht="15" hidden="false" customHeight="false" outlineLevel="0" collapsed="false">
      <c r="A11" s="11" t="s">
        <v>73</v>
      </c>
      <c r="B11" s="12" t="s">
        <v>105</v>
      </c>
    </row>
    <row r="12" customFormat="false" ht="15" hidden="false" customHeight="false" outlineLevel="0" collapsed="false">
      <c r="A12" s="11" t="s">
        <v>83</v>
      </c>
      <c r="B12" s="12" t="s">
        <v>106</v>
      </c>
    </row>
    <row r="13" customFormat="false" ht="15" hidden="false" customHeight="false" outlineLevel="0" collapsed="false">
      <c r="A13" s="11"/>
      <c r="B13" s="12"/>
    </row>
    <row r="14" customFormat="false" ht="15" hidden="false" customHeight="false" outlineLevel="0" collapsed="false">
      <c r="A14" s="13" t="s">
        <v>107</v>
      </c>
      <c r="B14" s="12"/>
    </row>
    <row r="15" customFormat="false" ht="23.85" hidden="false" customHeight="false" outlineLevel="0" collapsed="false">
      <c r="A15" s="11" t="s">
        <v>108</v>
      </c>
      <c r="B15" s="12" t="s">
        <v>109</v>
      </c>
    </row>
    <row r="16" customFormat="false" ht="15" hidden="false" customHeight="false" outlineLevel="0" collapsed="false">
      <c r="A16" s="11" t="s">
        <v>110</v>
      </c>
      <c r="B16" s="12" t="s">
        <v>111</v>
      </c>
    </row>
    <row r="17" customFormat="false" ht="35.05" hidden="false" customHeight="false" outlineLevel="0" collapsed="false">
      <c r="A17" s="11" t="s">
        <v>112</v>
      </c>
      <c r="B17" s="12" t="s">
        <v>113</v>
      </c>
    </row>
    <row r="18" customFormat="false" ht="23.85" hidden="false" customHeight="false" outlineLevel="0" collapsed="false">
      <c r="A18" s="11" t="s">
        <v>114</v>
      </c>
      <c r="B18" s="12" t="s">
        <v>115</v>
      </c>
    </row>
    <row r="19" customFormat="false" ht="23.85" hidden="false" customHeight="false" outlineLevel="0" collapsed="false">
      <c r="A19" s="11" t="s">
        <v>116</v>
      </c>
      <c r="B19" s="12" t="s">
        <v>117</v>
      </c>
    </row>
    <row r="20" customFormat="false" ht="15" hidden="false" customHeight="false" outlineLevel="0" collapsed="false">
      <c r="A20" s="11" t="s">
        <v>118</v>
      </c>
      <c r="B20" s="12" t="s">
        <v>119</v>
      </c>
    </row>
    <row r="21" customFormat="false" ht="15" hidden="false" customHeight="false" outlineLevel="0" collapsed="false">
      <c r="A21" s="11"/>
      <c r="B21" s="12"/>
    </row>
    <row r="22" customFormat="false" ht="15" hidden="false" customHeight="false" outlineLevel="0" collapsed="false">
      <c r="A22" s="13" t="s">
        <v>120</v>
      </c>
      <c r="B22" s="12"/>
    </row>
    <row r="23" customFormat="false" ht="23.85" hidden="false" customHeight="false" outlineLevel="0" collapsed="false">
      <c r="A23" s="11" t="s">
        <v>121</v>
      </c>
      <c r="B23" s="12" t="s">
        <v>122</v>
      </c>
    </row>
    <row r="24" customFormat="false" ht="15" hidden="false" customHeight="false" outlineLevel="0" collapsed="false">
      <c r="A24" s="11" t="s">
        <v>123</v>
      </c>
      <c r="B24" s="12" t="s">
        <v>124</v>
      </c>
    </row>
    <row r="25" customFormat="false" ht="15" hidden="false" customHeight="false" outlineLevel="0" collapsed="false">
      <c r="A25" s="11" t="s">
        <v>125</v>
      </c>
      <c r="B25" s="12" t="s">
        <v>126</v>
      </c>
    </row>
    <row r="26" customFormat="false" ht="15" hidden="false" customHeight="false" outlineLevel="0" collapsed="false">
      <c r="A26" s="11" t="s">
        <v>127</v>
      </c>
      <c r="B26" s="12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14" t="s">
        <v>129</v>
      </c>
      <c r="B1" s="14" t="s">
        <v>130</v>
      </c>
    </row>
    <row r="2" customFormat="false" ht="15" hidden="false" customHeight="false" outlineLevel="0" collapsed="false">
      <c r="A2" s="15" t="s">
        <v>131</v>
      </c>
      <c r="B2" s="15" t="n">
        <f aca="false">COUNTA('ZoomInfo MCP'!B2:B25)</f>
        <v>24</v>
      </c>
    </row>
    <row r="3" customFormat="false" ht="15" hidden="false" customHeight="false" outlineLevel="0" collapsed="false">
      <c r="A3" s="15" t="s">
        <v>17</v>
      </c>
      <c r="B3" s="15" t="n">
        <f aca="false">COUNTIF('ZoomInfo MCP'!C2:C25,"Read (free)")</f>
        <v>12</v>
      </c>
    </row>
    <row r="4" customFormat="false" ht="15" hidden="false" customHeight="false" outlineLevel="0" collapsed="false">
      <c r="A4" s="15" t="s">
        <v>55</v>
      </c>
      <c r="B4" s="15" t="n">
        <f aca="false">COUNTIF('ZoomInfo MCP'!C2:C25,"Read (bulk data credits)")</f>
        <v>6</v>
      </c>
    </row>
    <row r="5" customFormat="false" ht="15" hidden="false" customHeight="false" outlineLevel="0" collapsed="false">
      <c r="A5" s="15" t="s">
        <v>132</v>
      </c>
      <c r="B5" s="15" t="n">
        <f aca="false">COUNTIF('ZoomInfo MCP'!C2:C25,"Agent (AI action credits)")</f>
        <v>3</v>
      </c>
    </row>
    <row r="6" customFormat="false" ht="15" hidden="false" customHeight="false" outlineLevel="0" collapsed="false">
      <c r="A6" s="15" t="s">
        <v>133</v>
      </c>
      <c r="B6" s="15" t="n">
        <f aca="false">COUNTIF('ZoomInfo MCP'!C2:C25,"Write (AI action credits)")</f>
        <v>1</v>
      </c>
    </row>
    <row r="7" customFormat="false" ht="15" hidden="false" customHeight="false" outlineLevel="0" collapsed="false">
      <c r="A7" s="15" t="s">
        <v>134</v>
      </c>
      <c r="B7" s="15" t="n">
        <f aca="false">COUNTIF('ZoomInfo MCP'!E2:E25,"Yes - phase 1 (free, read-only)")</f>
        <v>12</v>
      </c>
    </row>
    <row r="8" customFormat="false" ht="15" hidden="false" customHeight="false" outlineLevel="0" collapsed="false">
      <c r="A8" s="15" t="s">
        <v>135</v>
      </c>
      <c r="B8" s="15" t="n">
        <f aca="false">COUNTIF('ZoomInfo MCP'!E2:E25,"Yes - phase 2 (consumes credits)")</f>
        <v>6</v>
      </c>
    </row>
    <row r="9" customFormat="false" ht="15" hidden="false" customHeight="false" outlineLevel="0" collapsed="false">
      <c r="A9" s="15" t="s">
        <v>136</v>
      </c>
      <c r="B9" s="15" t="n">
        <f aca="false">COUNTIF('ZoomInfo MCP'!E2:E25,"No - out of scope")</f>
        <v>5</v>
      </c>
    </row>
    <row r="10" customFormat="false" ht="15" hidden="false" customHeight="false" outlineLevel="0" collapsed="false">
      <c r="A10" s="15" t="s">
        <v>13</v>
      </c>
      <c r="B10" s="15" t="n">
        <f aca="false">COUNTIF('ZoomInfo MCP'!F2:F25,"Pending InfoSec review")</f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2026-08-11T14:49:17Z</dcterms:created>
  <dc:creator>openpyxl</dc:creator>
  <dc:description/>
  <dc:language>en-US</dc:language>
  <cp:lastModifiedBy/>
  <dcterms:modified xsi:type="dcterms:W3CDTF">2026-08-11T14:49:17Z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